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bf22a20525f46/Desktop/GGLA/"/>
    </mc:Choice>
  </mc:AlternateContent>
  <xr:revisionPtr revIDLastSave="85" documentId="8_{19974FA3-FC89-4964-8C45-9F868AF2700D}" xr6:coauthVersionLast="47" xr6:coauthVersionMax="47" xr10:uidLastSave="{26A16F31-9B8E-40D9-B74C-C550CD3E0DC3}"/>
  <bookViews>
    <workbookView xWindow="-108" yWindow="-108" windowWidth="23256" windowHeight="13896" activeTab="1" xr2:uid="{6C05F9DD-17DB-4A1A-91A7-C2E1A014EE2C}"/>
  </bookViews>
  <sheets>
    <sheet name="Dynamic Table" sheetId="4" r:id="rId1"/>
    <sheet name="Daten" sheetId="3" r:id="rId2"/>
  </sheets>
  <definedNames>
    <definedName name="ExterneDaten_1" localSheetId="1" hidden="1">Daten!$B$7:$J$19</definedName>
  </definedNames>
  <calcPr calcId="191029"/>
  <pivotCaches>
    <pivotCache cacheId="0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3" l="1"/>
  <c r="H10" i="3"/>
  <c r="H11" i="3"/>
  <c r="H12" i="3"/>
  <c r="H13" i="3"/>
  <c r="H14" i="3"/>
  <c r="H15" i="3"/>
  <c r="H16" i="3"/>
  <c r="H17" i="3"/>
  <c r="H18" i="3"/>
  <c r="H19" i="3"/>
  <c r="H8" i="3"/>
  <c r="I11" i="3" l="1"/>
  <c r="I12" i="3"/>
  <c r="I13" i="3"/>
  <c r="I14" i="3"/>
  <c r="I15" i="3"/>
  <c r="I16" i="3"/>
  <c r="I17" i="3"/>
  <c r="I18" i="3"/>
  <c r="I19" i="3"/>
  <c r="I35" i="3"/>
  <c r="I34" i="3"/>
  <c r="J11" i="3"/>
  <c r="J12" i="3"/>
  <c r="J13" i="3"/>
  <c r="J14" i="3"/>
  <c r="J15" i="3"/>
  <c r="J16" i="3"/>
  <c r="J17" i="3"/>
  <c r="J18" i="3"/>
  <c r="J19" i="3"/>
  <c r="I9" i="3"/>
  <c r="I10" i="3"/>
  <c r="I8" i="3"/>
  <c r="J9" i="3"/>
  <c r="I28" i="3" s="1"/>
  <c r="J10" i="3"/>
  <c r="J8" i="3"/>
  <c r="I2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EFA8E5-5DB3-4384-8DAD-0E8F898EE8C2}" keepAlive="1" name="Abfrage - Tabelle2_1" description="Verbindung mit der Abfrage 'Tabelle2_1' in der Arbeitsmappe." type="5" refreshedVersion="8" background="1" saveData="1">
    <dbPr connection="Provider=Microsoft.Mashup.OleDb.1;Data Source=$Workbook$;Location=Tabelle2_1;Extended Properties=&quot;&quot;" command="SELECT * FROM [Tabelle2_1]"/>
  </connection>
  <connection id="2" xr16:uid="{5F5539CE-CA87-42B7-97CA-D2BFB8738DD2}" keepAlive="1" name="Abfrage - Tabelle2_1 (2)" description="Verbindung mit der Abfrage 'Tabelle2_1 (2)' in der Arbeitsmappe." type="5" refreshedVersion="8" background="1" saveData="1">
    <dbPr connection="Provider=Microsoft.Mashup.OleDb.1;Data Source=$Workbook$;Location=&quot;Tabelle2_1 (2)&quot;;Extended Properties=&quot;&quot;" command="SELECT * FROM [Tabelle2_1 (2)]"/>
  </connection>
  <connection id="3" xr16:uid="{FFC72DAC-DAF4-4F4A-A25C-7FAF6E8C0505}" keepAlive="1" name="Abfrage - Tabelle2_1 (3)" description="Verbindung mit der Abfrage 'Tabelle2_1 (3)' in der Arbeitsmappe." type="5" refreshedVersion="8" background="1" saveData="1">
    <dbPr connection="Provider=Microsoft.Mashup.OleDb.1;Data Source=$Workbook$;Location=&quot;Tabelle2_1 (3)&quot;;Extended Properties=&quot;&quot;" command="SELECT * FROM [Tabelle2_1 (3)]"/>
  </connection>
</connections>
</file>

<file path=xl/sharedStrings.xml><?xml version="1.0" encoding="utf-8"?>
<sst xmlns="http://schemas.openxmlformats.org/spreadsheetml/2006/main" count="75" uniqueCount="47">
  <si>
    <t>claim_id</t>
  </si>
  <si>
    <t>customer_name</t>
  </si>
  <si>
    <t>product_name</t>
  </si>
  <si>
    <t>issue_source</t>
  </si>
  <si>
    <t>product_condition</t>
  </si>
  <si>
    <t>total_refunded</t>
  </si>
  <si>
    <t>HP PC AMD RYZEN 2025</t>
  </si>
  <si>
    <t>Google Pixel 10 Phone</t>
  </si>
  <si>
    <t>Lenovo Tab M12</t>
  </si>
  <si>
    <t>Google Pixel 8 Phone</t>
  </si>
  <si>
    <t>Alice Johnson</t>
  </si>
  <si>
    <t>Bob Smith</t>
  </si>
  <si>
    <t>Charlie Davis</t>
  </si>
  <si>
    <t>David Wilson</t>
  </si>
  <si>
    <t>Production</t>
  </si>
  <si>
    <t>Customer</t>
  </si>
  <si>
    <t>Unknown</t>
  </si>
  <si>
    <t>Good</t>
  </si>
  <si>
    <t>Damaged</t>
  </si>
  <si>
    <t>Not_Received</t>
  </si>
  <si>
    <t>Received</t>
  </si>
  <si>
    <t>Pending_Return</t>
  </si>
  <si>
    <t>CASES STUDIED</t>
  </si>
  <si>
    <t>Refunded_Rate</t>
  </si>
  <si>
    <t>Adam Robens</t>
  </si>
  <si>
    <t>John Adams</t>
  </si>
  <si>
    <t>Hans Mustermann</t>
  </si>
  <si>
    <t>Emillie Johnson</t>
  </si>
  <si>
    <t>Samsung Galaxy 21</t>
  </si>
  <si>
    <t>Iphone 13</t>
  </si>
  <si>
    <t>Iphone headphone</t>
  </si>
  <si>
    <t>Jordan Molan</t>
  </si>
  <si>
    <t>Travor James</t>
  </si>
  <si>
    <t>Dona Beck</t>
  </si>
  <si>
    <t>Alan Northman</t>
  </si>
  <si>
    <t>Google I-Watch</t>
  </si>
  <si>
    <t>LG Smart TV</t>
  </si>
  <si>
    <t>Samsung fridge</t>
  </si>
  <si>
    <t>Music Max Sound Player</t>
  </si>
  <si>
    <t>unit_price</t>
  </si>
  <si>
    <t>process_statut</t>
  </si>
  <si>
    <t>Gesamtergebnis</t>
  </si>
  <si>
    <t>Summe von total_refunded</t>
  </si>
  <si>
    <t>Spaltenbeschriftungen</t>
  </si>
  <si>
    <t>Issues sources</t>
  </si>
  <si>
    <t>Process status</t>
  </si>
  <si>
    <t>Very_Damaged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</si>
</sst>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8"/>
      <color theme="1"/>
      <name val="ADLaM Display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5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65"/>
      </left>
      <right/>
      <top style="medium">
        <color indexed="64"/>
      </top>
      <bottom/>
      <diagonal/>
    </border>
    <border>
      <left style="thin">
        <color indexed="65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3">
    <xf numFmtId="0" fontId="0" fillId="0" borderId="0" xfId="0"/>
    <xf numFmtId="0" fontId="0" fillId="0" borderId="2" xfId="0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3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10" fontId="4" fillId="0" borderId="3" xfId="1" applyNumberFormat="1" applyFont="1" applyBorder="1" applyAlignment="1">
      <alignment horizontal="right" vertical="center"/>
    </xf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18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19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64" fontId="0" fillId="0" borderId="12" xfId="0" applyNumberFormat="1" applyBorder="1"/>
    <xf numFmtId="164" fontId="0" fillId="0" borderId="13" xfId="0" applyNumberFormat="1" applyBorder="1"/>
    <xf numFmtId="164" fontId="0" fillId="0" borderId="17" xfId="0" applyNumberFormat="1" applyBorder="1"/>
    <xf numFmtId="0" fontId="0" fillId="0" borderId="17" xfId="0" pivotButton="1" applyBorder="1"/>
    <xf numFmtId="0" fontId="0" fillId="0" borderId="20" xfId="0" applyBorder="1"/>
    <xf numFmtId="0" fontId="0" fillId="0" borderId="21" xfId="0" applyBorder="1"/>
    <xf numFmtId="0" fontId="0" fillId="0" borderId="1" xfId="0" applyBorder="1" applyAlignment="1">
      <alignment horizontal="left" indent="1"/>
    </xf>
    <xf numFmtId="0" fontId="6" fillId="4" borderId="2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3" fillId="2" borderId="2" xfId="2" applyFont="1" applyBorder="1" applyAlignment="1">
      <alignment horizontal="center" vertical="center"/>
    </xf>
    <xf numFmtId="0" fontId="3" fillId="2" borderId="3" xfId="2" applyFont="1" applyBorder="1" applyAlignment="1">
      <alignment horizontal="center" vertical="center"/>
    </xf>
    <xf numFmtId="0" fontId="3" fillId="2" borderId="4" xfId="2" applyFont="1" applyBorder="1" applyAlignment="1">
      <alignment horizontal="center" vertical="center"/>
    </xf>
    <xf numFmtId="0" fontId="3" fillId="2" borderId="5" xfId="2" applyFont="1" applyBorder="1" applyAlignment="1">
      <alignment horizontal="center" vertical="center"/>
    </xf>
    <xf numFmtId="0" fontId="3" fillId="2" borderId="6" xfId="2" applyFont="1" applyBorder="1" applyAlignment="1">
      <alignment horizontal="center" vertical="center"/>
    </xf>
    <xf numFmtId="0" fontId="3" fillId="2" borderId="7" xfId="2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</cellXfs>
  <cellStyles count="3">
    <cellStyle name="Gut" xfId="2" builtinId="26"/>
    <cellStyle name="Prozent" xfId="1" builtinId="5"/>
    <cellStyle name="Standard" xfId="0" builtinId="0"/>
  </cellStyles>
  <dxfs count="42">
    <dxf>
      <font>
        <color theme="1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-* #,##0.00\ [$€-407]_-;\-* #,##0.00\ [$€-407]_-;_-* &quot;-&quot;??\ [$€-407]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-* #,##0.00\ [$€-407]_-;\-* #,##0.00\ [$€-407]_-;_-* &quot;-&quot;??\ [$€-407]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M" sz="180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Fluctuations</a:t>
            </a:r>
            <a:endParaRPr lang="fr-CM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outerShdw dist="25400" sx="1000" sy="1000" algn="ctr" rotWithShape="0">
            <a:srgbClr val="000000"/>
          </a:outerShdw>
        </a:effectLst>
        <a:scene3d>
          <a:camera prst="orthographicFront"/>
          <a:lightRig rig="threePt" dir="t"/>
        </a:scene3d>
        <a:sp3d>
          <a:bevelT/>
        </a:sp3d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Daten!$E$7</c:f>
              <c:strCache>
                <c:ptCount val="1"/>
                <c:pt idx="0">
                  <c:v>unit_price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Daten!$B$8:$B$19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Daten!$E$8:$E$19</c:f>
              <c:numCache>
                <c:formatCode>_-* #,##0.00\ [$€-407]_-;\-* #,##0.00\ [$€-407]_-;_-* "-"??\ [$€-407]_-;_-@_-</c:formatCode>
                <c:ptCount val="12"/>
                <c:pt idx="0">
                  <c:v>1200</c:v>
                </c:pt>
                <c:pt idx="1">
                  <c:v>800</c:v>
                </c:pt>
                <c:pt idx="2">
                  <c:v>500</c:v>
                </c:pt>
                <c:pt idx="3">
                  <c:v>300</c:v>
                </c:pt>
                <c:pt idx="4">
                  <c:v>1000</c:v>
                </c:pt>
                <c:pt idx="5">
                  <c:v>800</c:v>
                </c:pt>
                <c:pt idx="6">
                  <c:v>1200</c:v>
                </c:pt>
                <c:pt idx="7">
                  <c:v>250</c:v>
                </c:pt>
                <c:pt idx="8">
                  <c:v>630</c:v>
                </c:pt>
                <c:pt idx="9">
                  <c:v>780</c:v>
                </c:pt>
                <c:pt idx="10">
                  <c:v>540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D-4173-8998-875B3BD630B2}"/>
            </c:ext>
          </c:extLst>
        </c:ser>
        <c:ser>
          <c:idx val="1"/>
          <c:order val="1"/>
          <c:tx>
            <c:strRef>
              <c:f>Daten!$I$7</c:f>
              <c:strCache>
                <c:ptCount val="1"/>
                <c:pt idx="0">
                  <c:v>total_refunded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Daten!$B$8:$B$19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Daten!$I$8:$I$19</c:f>
              <c:numCache>
                <c:formatCode>_-* #,##0.00\ [$€-407]_-;\-* #,##0.00\ [$€-407]_-;_-* "-"??\ [$€-407]_-;_-@_-</c:formatCode>
                <c:ptCount val="12"/>
                <c:pt idx="0">
                  <c:v>840</c:v>
                </c:pt>
                <c:pt idx="1">
                  <c:v>800</c:v>
                </c:pt>
                <c:pt idx="2">
                  <c:v>425</c:v>
                </c:pt>
                <c:pt idx="3">
                  <c:v>0</c:v>
                </c:pt>
                <c:pt idx="4">
                  <c:v>1000</c:v>
                </c:pt>
                <c:pt idx="5">
                  <c:v>0</c:v>
                </c:pt>
                <c:pt idx="6">
                  <c:v>1200</c:v>
                </c:pt>
                <c:pt idx="7">
                  <c:v>212.5</c:v>
                </c:pt>
                <c:pt idx="8">
                  <c:v>441</c:v>
                </c:pt>
                <c:pt idx="9">
                  <c:v>546</c:v>
                </c:pt>
                <c:pt idx="10">
                  <c:v>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D-4173-8998-875B3BD63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2627679"/>
        <c:axId val="922624319"/>
        <c:axId val="0"/>
      </c:bar3DChart>
      <c:catAx>
        <c:axId val="92262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22624319"/>
        <c:crosses val="autoZero"/>
        <c:auto val="1"/>
        <c:lblAlgn val="ctr"/>
        <c:lblOffset val="100"/>
        <c:noMultiLvlLbl val="0"/>
      </c:catAx>
      <c:valAx>
        <c:axId val="92262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7]_-;\-* #,##0.00\ [$€-407]_-;_-* &quot;-&quot;??\ [$€-407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2262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>
          <a:solidFill>
            <a:schemeClr val="bg1"/>
          </a:solidFill>
        </a:defRPr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8965</xdr:colOff>
      <xdr:row>21</xdr:row>
      <xdr:rowOff>8964</xdr:rowOff>
    </xdr:from>
    <xdr:to>
      <xdr:col>6</xdr:col>
      <xdr:colOff>17930</xdr:colOff>
      <xdr:row>39</xdr:row>
      <xdr:rowOff>125506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7FA43A5-D511-CED6-34EC-E5492AE56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ston OKOMON" refreshedDate="46157.720443865743" createdVersion="8" refreshedVersion="8" minRefreshableVersion="3" recordCount="12" xr:uid="{47447A62-66F4-4FA7-A7F1-ED3F1237F3D8}">
  <cacheSource type="worksheet">
    <worksheetSource name="Tabelle2_2"/>
  </cacheSource>
  <cacheFields count="9">
    <cacheField name="claim_id" numFmtId="0">
      <sharedItems containsSemiMixedTypes="0" containsString="0" containsNumber="1" containsInteger="1" minValue="1" maxValue="12"/>
    </cacheField>
    <cacheField name="customer_name" numFmtId="0">
      <sharedItems/>
    </cacheField>
    <cacheField name="product_name" numFmtId="0">
      <sharedItems/>
    </cacheField>
    <cacheField name="unit_price" numFmtId="164">
      <sharedItems containsSemiMixedTypes="0" containsString="0" containsNumber="1" containsInteger="1" minValue="80" maxValue="1200" count="10">
        <n v="1200"/>
        <n v="800"/>
        <n v="500"/>
        <n v="300"/>
        <n v="1000"/>
        <n v="250"/>
        <n v="630"/>
        <n v="780"/>
        <n v="540"/>
        <n v="80"/>
      </sharedItems>
    </cacheField>
    <cacheField name="issue_source" numFmtId="0">
      <sharedItems count="3">
        <s v="Production"/>
        <s v="Customer"/>
        <s v="Unknown"/>
      </sharedItems>
    </cacheField>
    <cacheField name="product_condition" numFmtId="0">
      <sharedItems/>
    </cacheField>
    <cacheField name="Refunded_Rate" numFmtId="10">
      <sharedItems containsSemiMixedTypes="0" containsString="0" containsNumber="1" minValue="0" maxValue="1"/>
    </cacheField>
    <cacheField name="total_refunded" numFmtId="164">
      <sharedItems containsSemiMixedTypes="0" containsString="0" containsNumber="1" minValue="0" maxValue="12"/>
    </cacheField>
    <cacheField name="process_statut" numFmtId="0">
      <sharedItems count="2">
        <s v="Received"/>
        <s v="Pending_Retur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s v="Alice Johnson"/>
    <s v="HP PC AMD RYZEN 2025"/>
    <x v="0"/>
    <x v="0"/>
    <s v="Good"/>
    <n v="1"/>
    <n v="12"/>
    <x v="0"/>
  </r>
  <r>
    <n v="2"/>
    <s v="Bob Smith"/>
    <s v="Google Pixel 10 Phone"/>
    <x v="1"/>
    <x v="1"/>
    <s v="Good"/>
    <n v="0.85"/>
    <n v="6.8000000000000007"/>
    <x v="0"/>
  </r>
  <r>
    <n v="3"/>
    <s v="Charlie Davis"/>
    <s v="Lenovo Tab M12"/>
    <x v="2"/>
    <x v="1"/>
    <s v="Damaged"/>
    <n v="0.7"/>
    <n v="3.4999999999999996"/>
    <x v="0"/>
  </r>
  <r>
    <n v="4"/>
    <s v="David Wilson"/>
    <s v="Google Pixel 8 Phone"/>
    <x v="3"/>
    <x v="2"/>
    <s v="Not_Received"/>
    <n v="0"/>
    <n v="0"/>
    <x v="1"/>
  </r>
  <r>
    <n v="5"/>
    <s v="Adam Robens"/>
    <s v="Samsung Galaxy 21"/>
    <x v="4"/>
    <x v="1"/>
    <s v="Damaged"/>
    <n v="0.7"/>
    <n v="6.9999999999999991"/>
    <x v="0"/>
  </r>
  <r>
    <n v="6"/>
    <s v="John Adams"/>
    <s v="Google Pixel 10 Phone"/>
    <x v="1"/>
    <x v="2"/>
    <s v="Not_Received"/>
    <n v="0"/>
    <n v="0"/>
    <x v="1"/>
  </r>
  <r>
    <n v="7"/>
    <s v="Hans Mustermann"/>
    <s v="Iphone 13"/>
    <x v="0"/>
    <x v="0"/>
    <s v="Good"/>
    <n v="1"/>
    <n v="12"/>
    <x v="0"/>
  </r>
  <r>
    <n v="8"/>
    <s v="Emillie Johnson"/>
    <s v="Iphone headphone"/>
    <x v="5"/>
    <x v="2"/>
    <s v="Not_Received"/>
    <n v="0"/>
    <n v="0"/>
    <x v="1"/>
  </r>
  <r>
    <n v="9"/>
    <s v="Jordan Molan"/>
    <s v="Google I-Watch"/>
    <x v="6"/>
    <x v="2"/>
    <s v="Not_Received"/>
    <n v="0"/>
    <n v="0"/>
    <x v="1"/>
  </r>
  <r>
    <n v="10"/>
    <s v="Travor James"/>
    <s v="LG Smart TV"/>
    <x v="7"/>
    <x v="1"/>
    <s v="Good"/>
    <n v="0.85"/>
    <n v="6.6300000000000008"/>
    <x v="0"/>
  </r>
  <r>
    <n v="11"/>
    <s v="Dona Beck"/>
    <s v="Samsung fridge"/>
    <x v="8"/>
    <x v="2"/>
    <s v="Not_Received"/>
    <n v="0"/>
    <n v="0"/>
    <x v="1"/>
  </r>
  <r>
    <n v="12"/>
    <s v="Alan Northman"/>
    <s v="Music Max Sound Player"/>
    <x v="9"/>
    <x v="1"/>
    <s v="Good"/>
    <n v="0.85"/>
    <n v="0.6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84DC3-8AB1-40ED-A3FB-7713FCC0EB05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3" rowHeaderCaption="issue_source">
  <location ref="A3:L11" firstHeaderRow="1" firstDataRow="2" firstDataCol="1"/>
  <pivotFields count="9">
    <pivotField showAll="0"/>
    <pivotField showAll="0"/>
    <pivotField showAll="0"/>
    <pivotField axis="axisCol" numFmtId="164" showAll="0">
      <items count="11">
        <item x="9"/>
        <item x="5"/>
        <item x="3"/>
        <item x="2"/>
        <item x="8"/>
        <item x="6"/>
        <item x="7"/>
        <item x="1"/>
        <item x="4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numFmtId="10" showAll="0"/>
    <pivotField dataField="1" numFmtId="164" showAll="0"/>
    <pivotField axis="axisRow" showAll="0">
      <items count="3">
        <item x="1"/>
        <item sd="0" x="0"/>
        <item t="default"/>
      </items>
    </pivotField>
  </pivotFields>
  <rowFields count="2">
    <field x="4"/>
    <field x="8"/>
  </rowFields>
  <rowItems count="7">
    <i>
      <x/>
    </i>
    <i r="1">
      <x v="1"/>
    </i>
    <i>
      <x v="1"/>
    </i>
    <i r="1">
      <x v="1"/>
    </i>
    <i>
      <x v="2"/>
    </i>
    <i r="1">
      <x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me von total_refunded" fld="7" baseField="0" baseItem="0" numFmtId="164"/>
  </dataFields>
  <formats count="27">
    <format dxfId="28">
      <pivotArea dataOnly="0" outline="0" fieldPosition="0">
        <references count="1">
          <reference field="8" count="1">
            <x v="0"/>
          </reference>
        </references>
      </pivotArea>
    </format>
    <format dxfId="27">
      <pivotArea outline="0" collapsedLevelsAreSubtotals="1" fieldPosition="0"/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8" count="0"/>
        </references>
      </pivotArea>
    </format>
    <format dxfId="22">
      <pivotArea dataOnly="0" labelOnly="1" grandCol="1" outline="0" fieldPosition="0"/>
    </format>
    <format dxfId="21">
      <pivotArea dataOnly="0" outline="0" fieldPosition="0">
        <references count="1">
          <reference field="8" count="1">
            <x v="1"/>
          </reference>
        </references>
      </pivotArea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8" count="0"/>
        </references>
      </pivotArea>
    </format>
    <format dxfId="16">
      <pivotArea dataOnly="0" labelOnly="1" grandCol="1" outline="0" fieldPosition="0"/>
    </format>
    <format dxfId="15">
      <pivotArea outline="0" collapsedLevelsAreSubtotals="1" fieldPosition="0">
        <references count="1">
          <reference field="8" count="1" selected="0" defaultSubtotal="1">
            <x v="0"/>
          </reference>
        </references>
      </pivotArea>
    </format>
    <format dxfId="14">
      <pivotArea dataOnly="0" labelOnly="1" fieldPosition="0">
        <references count="1">
          <reference field="8" count="1" defaultSubtotal="1">
            <x v="0"/>
          </reference>
        </references>
      </pivotArea>
    </format>
    <format dxfId="13">
      <pivotArea dataOnly="0" labelOnly="1" offset="IV256" fieldPosition="0">
        <references count="1">
          <reference field="8" count="1" defaultSubtotal="1">
            <x v="0"/>
          </reference>
        </references>
      </pivotArea>
    </format>
    <format dxfId="12">
      <pivotArea outline="0" collapsedLevelsAreSubtotals="1" fieldPosition="0">
        <references count="1">
          <reference field="8" count="1" selected="0" defaultSubtotal="1">
            <x v="1"/>
          </reference>
        </references>
      </pivotArea>
    </format>
    <format dxfId="11">
      <pivotArea dataOnly="0" labelOnly="1" fieldPosition="0">
        <references count="1">
          <reference field="8" count="1" defaultSubtotal="1">
            <x v="1"/>
          </reference>
        </references>
      </pivotArea>
    </format>
    <format dxfId="10">
      <pivotArea dataOnly="0" labelOnly="1" offset="IV256" fieldPosition="0">
        <references count="1">
          <reference field="8" count="1" defaultSubtotal="1">
            <x v="1"/>
          </reference>
        </references>
      </pivotArea>
    </format>
    <format dxfId="9">
      <pivotArea dataOnly="0" labelOnly="1" grandCol="1" outline="0" offset="IV256" fieldPosition="0"/>
    </format>
    <format dxfId="8">
      <pivotArea type="origin" dataOnly="0" labelOnly="1" outline="0" offset="A2" fieldPosition="0"/>
    </format>
    <format dxfId="7">
      <pivotArea type="origin" dataOnly="0" labelOnly="1" outline="0" offset="A1" fieldPosition="0"/>
    </format>
    <format dxfId="6">
      <pivotArea field="8" type="button" dataOnly="0" labelOnly="1" outline="0" axis="axisRow" fieldPosition="1"/>
    </format>
    <format dxfId="5">
      <pivotArea field="3" type="button" dataOnly="0" labelOnly="1" outline="0" axis="axisCol" fieldPosition="0"/>
    </format>
    <format dxfId="4">
      <pivotArea type="topRight" dataOnly="0" labelOnly="1" outline="0" fieldPosition="0"/>
    </format>
    <format dxfId="3">
      <pivotArea grandCol="1" outline="0" collapsedLevelsAreSubtotals="1" fieldPosition="0"/>
    </format>
    <format dxfId="2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DB0A144-8DAC-4605-8703-739F029FB941}" autoFormatId="16" applyNumberFormats="0" applyBorderFormats="0" applyFontFormats="0" applyPatternFormats="0" applyAlignmentFormats="0" applyWidthHeightFormats="0">
  <queryTableRefresh nextId="10">
    <queryTableFields count="9">
      <queryTableField id="1" name="claim_id" tableColumnId="1"/>
      <queryTableField id="2" name="customer_name" tableColumnId="2"/>
      <queryTableField id="3" name="product_name" tableColumnId="3"/>
      <queryTableField id="4" name="unti_price" tableColumnId="4"/>
      <queryTableField id="5" name="issue_source" tableColumnId="5"/>
      <queryTableField id="6" name="product_condition" tableColumnId="6"/>
      <queryTableField id="7" name="Refunded_Rate" tableColumnId="7"/>
      <queryTableField id="8" name="total_refunded" tableColumnId="8"/>
      <queryTableField id="9" name="process_statut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A5C65B-2162-47D3-8260-7E9198B135B0}" name="Tabelle2_2" displayName="Tabelle2_2" ref="B7:J19" tableType="queryTable" totalsRowShown="0" headerRowDxfId="41" dataDxfId="39" headerRowBorderDxfId="40" tableBorderDxfId="38">
  <autoFilter ref="B7:J19" xr:uid="{22A5C65B-2162-47D3-8260-7E9198B135B0}"/>
  <tableColumns count="9">
    <tableColumn id="1" xr3:uid="{FF336CDB-CB54-41AE-81D7-9C1E99B3CDAC}" uniqueName="1" name="claim_id" queryTableFieldId="1" dataDxfId="37"/>
    <tableColumn id="2" xr3:uid="{0654F06A-C1ED-47B7-9DD5-9A6D3BA35F1B}" uniqueName="2" name="customer_name" queryTableFieldId="2" dataDxfId="36"/>
    <tableColumn id="3" xr3:uid="{D19D9F66-F548-4D45-9170-7867CCB2EC1B}" uniqueName="3" name="product_name" queryTableFieldId="3" dataDxfId="35"/>
    <tableColumn id="4" xr3:uid="{D345FF6D-EB20-44EA-8928-7D0FD97CFB87}" uniqueName="4" name="unit_price" queryTableFieldId="4" dataDxfId="34"/>
    <tableColumn id="5" xr3:uid="{F49BFAF4-F96F-463F-A3BA-F6CBBBB106BD}" uniqueName="5" name="issue_source" queryTableFieldId="5" dataDxfId="33"/>
    <tableColumn id="6" xr3:uid="{A2F7E2AF-E3DF-40BF-96E0-4C4A03B085FC}" uniqueName="6" name="product_condition" queryTableFieldId="6" dataDxfId="32"/>
    <tableColumn id="7" xr3:uid="{2A2888D1-EC0B-4BB8-86F8-A12E44C1E263}" uniqueName="7" name="Refunded_Rate" queryTableFieldId="7" dataDxfId="31" dataCellStyle="Prozent"/>
    <tableColumn id="8" xr3:uid="{588FEF75-8286-4905-98A8-6EC6ADEDA5AC}" uniqueName="8" name="total_refunded" queryTableFieldId="8" dataDxfId="30"/>
    <tableColumn id="9" xr3:uid="{06FABFB4-DFA4-448E-9D70-972D3F2B2A35}" uniqueName="9" name="process_statut" queryTableFieldId="9" dataDxfId="29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2104-66C4-4AF1-8ABD-84CC880CD38C}">
  <dimension ref="A2:L11"/>
  <sheetViews>
    <sheetView workbookViewId="0">
      <selection activeCell="B21" sqref="B21"/>
    </sheetView>
  </sheetViews>
  <sheetFormatPr baseColWidth="10" defaultRowHeight="14.4" x14ac:dyDescent="0.3"/>
  <cols>
    <col min="1" max="1" width="22.33203125" bestFit="1" customWidth="1"/>
    <col min="2" max="2" width="21.33203125" bestFit="1" customWidth="1"/>
    <col min="3" max="9" width="9.21875" bestFit="1" customWidth="1"/>
    <col min="10" max="11" width="10.77734375" bestFit="1" customWidth="1"/>
    <col min="12" max="12" width="15.5546875" bestFit="1" customWidth="1"/>
    <col min="13" max="13" width="10.77734375" bestFit="1" customWidth="1"/>
    <col min="14" max="14" width="15.5546875" bestFit="1" customWidth="1"/>
    <col min="15" max="15" width="14.21875" bestFit="1" customWidth="1"/>
    <col min="16" max="16" width="22.33203125" bestFit="1" customWidth="1"/>
    <col min="17" max="17" width="21.77734375" bestFit="1" customWidth="1"/>
    <col min="18" max="18" width="22.33203125" bestFit="1" customWidth="1"/>
    <col min="19" max="19" width="21.77734375" bestFit="1" customWidth="1"/>
    <col min="20" max="20" width="22.33203125" bestFit="1" customWidth="1"/>
    <col min="21" max="21" width="21.77734375" bestFit="1" customWidth="1"/>
    <col min="22" max="22" width="22.33203125" bestFit="1" customWidth="1"/>
    <col min="23" max="23" width="21.77734375" bestFit="1" customWidth="1"/>
    <col min="24" max="24" width="22.33203125" bestFit="1" customWidth="1"/>
    <col min="25" max="25" width="21.77734375" bestFit="1" customWidth="1"/>
    <col min="26" max="26" width="30.109375" bestFit="1" customWidth="1"/>
    <col min="27" max="27" width="29.5546875" bestFit="1" customWidth="1"/>
    <col min="28" max="28" width="29.6640625" bestFit="1" customWidth="1"/>
    <col min="29" max="29" width="29.109375" bestFit="1" customWidth="1"/>
  </cols>
  <sheetData>
    <row r="2" spans="1:12" ht="15" thickBot="1" x14ac:dyDescent="0.35"/>
    <row r="3" spans="1:12" ht="15" thickBot="1" x14ac:dyDescent="0.35">
      <c r="A3" s="26" t="s">
        <v>42</v>
      </c>
      <c r="B3" s="26" t="s">
        <v>43</v>
      </c>
      <c r="C3" s="1"/>
      <c r="D3" s="27"/>
      <c r="E3" s="27"/>
      <c r="F3" s="27"/>
      <c r="G3" s="27"/>
      <c r="H3" s="27"/>
      <c r="I3" s="27"/>
      <c r="J3" s="27"/>
      <c r="K3" s="27"/>
      <c r="L3" s="28"/>
    </row>
    <row r="4" spans="1:12" ht="15" thickBot="1" x14ac:dyDescent="0.35">
      <c r="A4" s="21" t="s">
        <v>3</v>
      </c>
      <c r="B4" s="13">
        <v>80</v>
      </c>
      <c r="C4" s="14">
        <v>250</v>
      </c>
      <c r="D4" s="14">
        <v>300</v>
      </c>
      <c r="E4" s="14">
        <v>500</v>
      </c>
      <c r="F4" s="14">
        <v>540</v>
      </c>
      <c r="G4" s="14">
        <v>630</v>
      </c>
      <c r="H4" s="14">
        <v>780</v>
      </c>
      <c r="I4" s="14">
        <v>800</v>
      </c>
      <c r="J4" s="14">
        <v>1000</v>
      </c>
      <c r="K4" s="14">
        <v>1200</v>
      </c>
      <c r="L4" s="17" t="s">
        <v>41</v>
      </c>
    </row>
    <row r="5" spans="1:12" ht="15" thickBot="1" x14ac:dyDescent="0.35">
      <c r="A5" s="22" t="s">
        <v>15</v>
      </c>
      <c r="B5" s="18">
        <v>0.68</v>
      </c>
      <c r="C5" s="19"/>
      <c r="D5" s="19"/>
      <c r="E5" s="19">
        <v>3.4999999999999996</v>
      </c>
      <c r="F5" s="19"/>
      <c r="G5" s="19"/>
      <c r="H5" s="19">
        <v>6.6300000000000008</v>
      </c>
      <c r="I5" s="19">
        <v>6.8000000000000007</v>
      </c>
      <c r="J5" s="19">
        <v>6.9999999999999991</v>
      </c>
      <c r="K5" s="19"/>
      <c r="L5" s="25">
        <v>24.61</v>
      </c>
    </row>
    <row r="6" spans="1:12" ht="15" thickBot="1" x14ac:dyDescent="0.35">
      <c r="A6" s="29" t="s">
        <v>20</v>
      </c>
      <c r="B6" s="18">
        <v>0.68</v>
      </c>
      <c r="C6" s="19"/>
      <c r="D6" s="19"/>
      <c r="E6" s="19">
        <v>3.4999999999999996</v>
      </c>
      <c r="F6" s="19"/>
      <c r="G6" s="19"/>
      <c r="H6" s="19">
        <v>6.6300000000000008</v>
      </c>
      <c r="I6" s="19">
        <v>6.8000000000000007</v>
      </c>
      <c r="J6" s="19">
        <v>6.9999999999999991</v>
      </c>
      <c r="K6" s="19"/>
      <c r="L6" s="25">
        <v>24.61</v>
      </c>
    </row>
    <row r="7" spans="1:12" ht="15" thickBot="1" x14ac:dyDescent="0.35">
      <c r="A7" s="22" t="s">
        <v>14</v>
      </c>
      <c r="B7" s="20"/>
      <c r="C7" s="15"/>
      <c r="D7" s="15"/>
      <c r="E7" s="15"/>
      <c r="F7" s="15"/>
      <c r="G7" s="15"/>
      <c r="H7" s="15"/>
      <c r="I7" s="15"/>
      <c r="J7" s="15"/>
      <c r="K7" s="15">
        <v>24</v>
      </c>
      <c r="L7" s="16">
        <v>24</v>
      </c>
    </row>
    <row r="8" spans="1:12" ht="15" thickBot="1" x14ac:dyDescent="0.35">
      <c r="A8" s="29" t="s">
        <v>20</v>
      </c>
      <c r="B8" s="18"/>
      <c r="C8" s="19"/>
      <c r="D8" s="19"/>
      <c r="E8" s="19"/>
      <c r="F8" s="19"/>
      <c r="G8" s="19"/>
      <c r="H8" s="19"/>
      <c r="I8" s="19"/>
      <c r="J8" s="19"/>
      <c r="K8" s="19">
        <v>24</v>
      </c>
      <c r="L8" s="25">
        <v>24</v>
      </c>
    </row>
    <row r="9" spans="1:12" ht="15" thickBot="1" x14ac:dyDescent="0.35">
      <c r="A9" s="22" t="s">
        <v>16</v>
      </c>
      <c r="B9" s="20"/>
      <c r="C9" s="15">
        <v>0</v>
      </c>
      <c r="D9" s="15">
        <v>0</v>
      </c>
      <c r="E9" s="15"/>
      <c r="F9" s="15">
        <v>0</v>
      </c>
      <c r="G9" s="15">
        <v>0</v>
      </c>
      <c r="H9" s="15"/>
      <c r="I9" s="15">
        <v>0</v>
      </c>
      <c r="J9" s="15"/>
      <c r="K9" s="15"/>
      <c r="L9" s="16">
        <v>0</v>
      </c>
    </row>
    <row r="10" spans="1:12" ht="15" thickBot="1" x14ac:dyDescent="0.35">
      <c r="A10" s="29" t="s">
        <v>21</v>
      </c>
      <c r="B10" s="23"/>
      <c r="C10" s="24">
        <v>0</v>
      </c>
      <c r="D10" s="24">
        <v>0</v>
      </c>
      <c r="E10" s="24"/>
      <c r="F10" s="24">
        <v>0</v>
      </c>
      <c r="G10" s="24">
        <v>0</v>
      </c>
      <c r="H10" s="24"/>
      <c r="I10" s="24">
        <v>0</v>
      </c>
      <c r="J10" s="24"/>
      <c r="K10" s="24"/>
      <c r="L10" s="17">
        <v>0</v>
      </c>
    </row>
    <row r="11" spans="1:12" ht="15" thickBot="1" x14ac:dyDescent="0.35">
      <c r="A11" s="22" t="s">
        <v>41</v>
      </c>
      <c r="B11" s="23">
        <v>0.68</v>
      </c>
      <c r="C11" s="24">
        <v>0</v>
      </c>
      <c r="D11" s="24">
        <v>0</v>
      </c>
      <c r="E11" s="24">
        <v>3.4999999999999996</v>
      </c>
      <c r="F11" s="24">
        <v>0</v>
      </c>
      <c r="G11" s="24">
        <v>0</v>
      </c>
      <c r="H11" s="24">
        <v>6.6300000000000008</v>
      </c>
      <c r="I11" s="24">
        <v>6.8000000000000007</v>
      </c>
      <c r="J11" s="24">
        <v>6.9999999999999991</v>
      </c>
      <c r="K11" s="24">
        <v>24</v>
      </c>
      <c r="L11" s="17">
        <v>48.61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68DA-59B4-4463-893D-B8BE69B8ADC5}">
  <dimension ref="B3:J35"/>
  <sheetViews>
    <sheetView tabSelected="1" defaultGridColor="0" topLeftCell="A11" colorId="22" zoomScale="85" zoomScaleNormal="85" workbookViewId="0">
      <selection activeCell="I34" sqref="I34"/>
    </sheetView>
  </sheetViews>
  <sheetFormatPr baseColWidth="10" defaultRowHeight="14.4" x14ac:dyDescent="0.3"/>
  <cols>
    <col min="1" max="1" width="9.88671875" bestFit="1" customWidth="1"/>
    <col min="2" max="2" width="16.21875" bestFit="1" customWidth="1"/>
    <col min="3" max="3" width="20.33203125" bestFit="1" customWidth="1"/>
    <col min="4" max="4" width="22.88671875" bestFit="1" customWidth="1"/>
    <col min="5" max="5" width="18.5546875" bestFit="1" customWidth="1"/>
    <col min="6" max="6" width="17.6640625" bestFit="1" customWidth="1"/>
    <col min="7" max="8" width="20.6640625" bestFit="1" customWidth="1"/>
    <col min="9" max="10" width="17.33203125" bestFit="1" customWidth="1"/>
  </cols>
  <sheetData>
    <row r="3" spans="2:10" ht="15" thickBot="1" x14ac:dyDescent="0.35"/>
    <row r="4" spans="2:10" x14ac:dyDescent="0.3">
      <c r="B4" s="34" t="s">
        <v>22</v>
      </c>
      <c r="C4" s="35"/>
      <c r="D4" s="35"/>
      <c r="E4" s="35"/>
      <c r="F4" s="35"/>
      <c r="G4" s="35"/>
      <c r="H4" s="35"/>
      <c r="I4" s="35"/>
      <c r="J4" s="36"/>
    </row>
    <row r="5" spans="2:10" ht="15" thickBot="1" x14ac:dyDescent="0.35">
      <c r="B5" s="37"/>
      <c r="C5" s="38"/>
      <c r="D5" s="38"/>
      <c r="E5" s="38"/>
      <c r="F5" s="38"/>
      <c r="G5" s="38"/>
      <c r="H5" s="38"/>
      <c r="I5" s="38"/>
      <c r="J5" s="39"/>
    </row>
    <row r="7" spans="2:10" ht="25.2" customHeight="1" thickBot="1" x14ac:dyDescent="0.35">
      <c r="B7" s="8" t="s">
        <v>0</v>
      </c>
      <c r="C7" s="8" t="s">
        <v>1</v>
      </c>
      <c r="D7" s="8" t="s">
        <v>2</v>
      </c>
      <c r="E7" s="3" t="s">
        <v>39</v>
      </c>
      <c r="F7" s="8" t="s">
        <v>3</v>
      </c>
      <c r="G7" s="8" t="s">
        <v>4</v>
      </c>
      <c r="H7" s="8" t="s">
        <v>23</v>
      </c>
      <c r="I7" s="8" t="s">
        <v>5</v>
      </c>
      <c r="J7" s="8" t="s">
        <v>40</v>
      </c>
    </row>
    <row r="8" spans="2:10" ht="16.2" thickBot="1" x14ac:dyDescent="0.35">
      <c r="B8" s="5">
        <v>1</v>
      </c>
      <c r="C8" s="7" t="s">
        <v>10</v>
      </c>
      <c r="D8" s="7" t="s">
        <v>6</v>
      </c>
      <c r="E8" s="9">
        <v>1200</v>
      </c>
      <c r="F8" s="7" t="s">
        <v>15</v>
      </c>
      <c r="G8" s="7" t="s">
        <v>46</v>
      </c>
      <c r="H8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0.7</v>
      </c>
      <c r="I8" s="9">
        <f>Tabelle2_2[[#This Row],[unit_price]]*Tabelle2_2[[#This Row],[Refunded_Rate]]</f>
        <v>840</v>
      </c>
      <c r="J8" s="7" t="str">
        <f>IF(AND(Tabelle2_2[[#This Row],[issue_source]]="Unknown", Tabelle2_2[[#This Row],[product_condition]]= "Not_Received"),"Pending_Return", "Received")</f>
        <v>Received</v>
      </c>
    </row>
    <row r="9" spans="2:10" ht="16.2" thickBot="1" x14ac:dyDescent="0.35">
      <c r="B9" s="3">
        <v>2</v>
      </c>
      <c r="C9" s="8" t="s">
        <v>11</v>
      </c>
      <c r="D9" s="8" t="s">
        <v>7</v>
      </c>
      <c r="E9" s="10">
        <v>800</v>
      </c>
      <c r="F9" s="8" t="s">
        <v>14</v>
      </c>
      <c r="G9" s="8" t="s">
        <v>18</v>
      </c>
      <c r="H9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1</v>
      </c>
      <c r="I9" s="9">
        <f>Tabelle2_2[[#This Row],[unit_price]]*Tabelle2_2[[#This Row],[Refunded_Rate]]</f>
        <v>800</v>
      </c>
      <c r="J9" s="7" t="str">
        <f>IF(AND(Tabelle2_2[[#This Row],[issue_source]]="Unknown", Tabelle2_2[[#This Row],[product_condition]]= "Not_Received"),"Pending_Return", "Received")</f>
        <v>Received</v>
      </c>
    </row>
    <row r="10" spans="2:10" ht="16.2" thickBot="1" x14ac:dyDescent="0.35">
      <c r="B10" s="3">
        <v>3</v>
      </c>
      <c r="C10" s="8" t="s">
        <v>12</v>
      </c>
      <c r="D10" s="8" t="s">
        <v>8</v>
      </c>
      <c r="E10" s="10">
        <v>500</v>
      </c>
      <c r="F10" s="8" t="s">
        <v>15</v>
      </c>
      <c r="G10" s="8" t="s">
        <v>18</v>
      </c>
      <c r="H10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0.85</v>
      </c>
      <c r="I10" s="9">
        <f>Tabelle2_2[[#This Row],[unit_price]]*Tabelle2_2[[#This Row],[Refunded_Rate]]</f>
        <v>425</v>
      </c>
      <c r="J10" s="7" t="str">
        <f>IF(AND(Tabelle2_2[[#This Row],[issue_source]]="Unknown", Tabelle2_2[[#This Row],[product_condition]]= "Not_Received"),"Pending_Return", "Received")</f>
        <v>Received</v>
      </c>
    </row>
    <row r="11" spans="2:10" ht="16.2" thickBot="1" x14ac:dyDescent="0.35">
      <c r="B11" s="3">
        <v>4</v>
      </c>
      <c r="C11" s="8" t="s">
        <v>13</v>
      </c>
      <c r="D11" s="8" t="s">
        <v>9</v>
      </c>
      <c r="E11" s="10">
        <v>300</v>
      </c>
      <c r="F11" s="8" t="s">
        <v>16</v>
      </c>
      <c r="G11" s="8" t="s">
        <v>19</v>
      </c>
      <c r="H11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0</v>
      </c>
      <c r="I11" s="9">
        <f>Tabelle2_2[[#This Row],[unit_price]]*Tabelle2_2[[#This Row],[Refunded_Rate]]</f>
        <v>0</v>
      </c>
      <c r="J11" s="7" t="str">
        <f>IF(AND(Tabelle2_2[[#This Row],[issue_source]]="Unknown", Tabelle2_2[[#This Row],[product_condition]]= "Not_Received"),"Pending_Return", "Received")</f>
        <v>Pending_Return</v>
      </c>
    </row>
    <row r="12" spans="2:10" ht="16.2" thickBot="1" x14ac:dyDescent="0.35">
      <c r="B12" s="4">
        <v>5</v>
      </c>
      <c r="C12" s="7" t="s">
        <v>24</v>
      </c>
      <c r="D12" s="7" t="s">
        <v>28</v>
      </c>
      <c r="E12" s="9">
        <v>1000</v>
      </c>
      <c r="F12" s="7" t="s">
        <v>15</v>
      </c>
      <c r="G12" s="7" t="s">
        <v>17</v>
      </c>
      <c r="H12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1</v>
      </c>
      <c r="I12" s="9">
        <f>Tabelle2_2[[#This Row],[unit_price]]*Tabelle2_2[[#This Row],[Refunded_Rate]]</f>
        <v>1000</v>
      </c>
      <c r="J12" s="7" t="str">
        <f>IF(AND(Tabelle2_2[[#This Row],[issue_source]]="Unknown", Tabelle2_2[[#This Row],[product_condition]]= "Not_Received"),"Pending_Return", "Received")</f>
        <v>Received</v>
      </c>
    </row>
    <row r="13" spans="2:10" ht="16.2" thickBot="1" x14ac:dyDescent="0.35">
      <c r="B13" s="6">
        <v>6</v>
      </c>
      <c r="C13" s="8" t="s">
        <v>25</v>
      </c>
      <c r="D13" s="8" t="s">
        <v>7</v>
      </c>
      <c r="E13" s="10">
        <v>800</v>
      </c>
      <c r="F13" s="8" t="s">
        <v>16</v>
      </c>
      <c r="G13" s="8" t="s">
        <v>19</v>
      </c>
      <c r="H13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0</v>
      </c>
      <c r="I13" s="9">
        <f>Tabelle2_2[[#This Row],[unit_price]]*Tabelle2_2[[#This Row],[Refunded_Rate]]</f>
        <v>0</v>
      </c>
      <c r="J13" s="7" t="str">
        <f>IF(AND(Tabelle2_2[[#This Row],[issue_source]]="Unknown", Tabelle2_2[[#This Row],[product_condition]]= "Not_Received"),"Pending_Return", "Received")</f>
        <v>Pending_Return</v>
      </c>
    </row>
    <row r="14" spans="2:10" ht="16.2" thickBot="1" x14ac:dyDescent="0.35">
      <c r="B14" s="6">
        <v>7</v>
      </c>
      <c r="C14" s="8" t="s">
        <v>26</v>
      </c>
      <c r="D14" s="8" t="s">
        <v>29</v>
      </c>
      <c r="E14" s="10">
        <v>1200</v>
      </c>
      <c r="F14" s="8" t="s">
        <v>14</v>
      </c>
      <c r="G14" s="8" t="s">
        <v>18</v>
      </c>
      <c r="H14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1</v>
      </c>
      <c r="I14" s="9">
        <f>Tabelle2_2[[#This Row],[unit_price]]*Tabelle2_2[[#This Row],[Refunded_Rate]]</f>
        <v>1200</v>
      </c>
      <c r="J14" s="7" t="str">
        <f>IF(AND(Tabelle2_2[[#This Row],[issue_source]]="Unknown", Tabelle2_2[[#This Row],[product_condition]]= "Not_Received"),"Pending_Return", "Received")</f>
        <v>Received</v>
      </c>
    </row>
    <row r="15" spans="2:10" ht="16.2" thickBot="1" x14ac:dyDescent="0.35">
      <c r="B15" s="6">
        <v>8</v>
      </c>
      <c r="C15" s="8" t="s">
        <v>27</v>
      </c>
      <c r="D15" s="8" t="s">
        <v>30</v>
      </c>
      <c r="E15" s="10">
        <v>250</v>
      </c>
      <c r="F15" s="8" t="s">
        <v>15</v>
      </c>
      <c r="G15" s="8" t="s">
        <v>18</v>
      </c>
      <c r="H15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0.85</v>
      </c>
      <c r="I15" s="9">
        <f>Tabelle2_2[[#This Row],[unit_price]]*Tabelle2_2[[#This Row],[Refunded_Rate]]</f>
        <v>212.5</v>
      </c>
      <c r="J15" s="7" t="str">
        <f>IF(AND(Tabelle2_2[[#This Row],[issue_source]]="Unknown", Tabelle2_2[[#This Row],[product_condition]]= "Not_Received"),"Pending_Return", "Received")</f>
        <v>Received</v>
      </c>
    </row>
    <row r="16" spans="2:10" ht="16.2" thickBot="1" x14ac:dyDescent="0.35">
      <c r="B16" s="5">
        <v>9</v>
      </c>
      <c r="C16" s="7" t="s">
        <v>31</v>
      </c>
      <c r="D16" s="7" t="s">
        <v>35</v>
      </c>
      <c r="E16" s="9">
        <v>630</v>
      </c>
      <c r="F16" s="7" t="s">
        <v>15</v>
      </c>
      <c r="G16" s="7" t="s">
        <v>46</v>
      </c>
      <c r="H16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0.7</v>
      </c>
      <c r="I16" s="9">
        <f>Tabelle2_2[[#This Row],[unit_price]]*Tabelle2_2[[#This Row],[Refunded_Rate]]</f>
        <v>441</v>
      </c>
      <c r="J16" s="7" t="str">
        <f>IF(AND(Tabelle2_2[[#This Row],[issue_source]]="Unknown", Tabelle2_2[[#This Row],[product_condition]]= "Not_Received"),"Pending_Return", "Received")</f>
        <v>Received</v>
      </c>
    </row>
    <row r="17" spans="2:10" ht="16.2" thickBot="1" x14ac:dyDescent="0.35">
      <c r="B17" s="3">
        <v>10</v>
      </c>
      <c r="C17" s="8" t="s">
        <v>32</v>
      </c>
      <c r="D17" s="8" t="s">
        <v>36</v>
      </c>
      <c r="E17" s="10">
        <v>780</v>
      </c>
      <c r="F17" s="8" t="s">
        <v>15</v>
      </c>
      <c r="G17" s="8" t="s">
        <v>46</v>
      </c>
      <c r="H17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0.7</v>
      </c>
      <c r="I17" s="9">
        <f>Tabelle2_2[[#This Row],[unit_price]]*Tabelle2_2[[#This Row],[Refunded_Rate]]</f>
        <v>546</v>
      </c>
      <c r="J17" s="7" t="str">
        <f>IF(AND(Tabelle2_2[[#This Row],[issue_source]]="Unknown", Tabelle2_2[[#This Row],[product_condition]]= "Not_Received"),"Pending_Return", "Received")</f>
        <v>Received</v>
      </c>
    </row>
    <row r="18" spans="2:10" ht="16.2" thickBot="1" x14ac:dyDescent="0.35">
      <c r="B18" s="3">
        <v>11</v>
      </c>
      <c r="C18" s="8" t="s">
        <v>33</v>
      </c>
      <c r="D18" s="8" t="s">
        <v>37</v>
      </c>
      <c r="E18" s="10">
        <v>540</v>
      </c>
      <c r="F18" s="8" t="s">
        <v>16</v>
      </c>
      <c r="G18" s="8" t="s">
        <v>19</v>
      </c>
      <c r="H18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0</v>
      </c>
      <c r="I18" s="9">
        <f>Tabelle2_2[[#This Row],[unit_price]]*Tabelle2_2[[#This Row],[Refunded_Rate]]</f>
        <v>0</v>
      </c>
      <c r="J18" s="7" t="str">
        <f>IF(AND(Tabelle2_2[[#This Row],[issue_source]]="Unknown", Tabelle2_2[[#This Row],[product_condition]]= "Not_Received"),"Pending_Return", "Received")</f>
        <v>Pending_Return</v>
      </c>
    </row>
    <row r="19" spans="2:10" ht="15.6" x14ac:dyDescent="0.3">
      <c r="B19" s="3">
        <v>12</v>
      </c>
      <c r="C19" s="8" t="s">
        <v>34</v>
      </c>
      <c r="D19" s="8" t="s">
        <v>38</v>
      </c>
      <c r="E19" s="10">
        <v>80</v>
      </c>
      <c r="F19" s="8" t="s">
        <v>15</v>
      </c>
      <c r="G19" s="8" t="s">
        <v>17</v>
      </c>
      <c r="H19" s="12">
        <f>IF(AND(Tabelle2_2[[#This Row],[issue_source]]="Customer", Tabelle2_2[[#This Row],[product_condition]]="Good"), 100%, IF(AND(Tabelle2_2[[#This Row],[issue_source]]="Production", Tabelle2_2[[#This Row],[product_condition]]="Damaged"), 100%, IF(AND(Tabelle2_2[[#This Row],[issue_source]]="Customer", Tabelle2_2[[#This Row],[product_condition]]="Damaged"), 85%, IF(AND(Tabelle2_2[[#This Row],[issue_source]]="Customer",Tabelle2_2[[#This Row],[product_condition]]="Very_Damaged"),70%,0%))))</f>
        <v>1</v>
      </c>
      <c r="I19" s="9">
        <f>Tabelle2_2[[#This Row],[unit_price]]*Tabelle2_2[[#This Row],[Refunded_Rate]]</f>
        <v>80</v>
      </c>
      <c r="J19" s="7" t="str">
        <f>IF(AND(Tabelle2_2[[#This Row],[issue_source]]="Unknown", Tabelle2_2[[#This Row],[product_condition]]= "Not_Received"),"Pending_Return", "Received")</f>
        <v>Received</v>
      </c>
    </row>
    <row r="20" spans="2:10" x14ac:dyDescent="0.3">
      <c r="H20" s="11"/>
      <c r="I20" s="11"/>
    </row>
    <row r="21" spans="2:10" x14ac:dyDescent="0.3">
      <c r="H21" s="11"/>
      <c r="I21" s="11"/>
    </row>
    <row r="22" spans="2:10" ht="15.6" x14ac:dyDescent="0.3">
      <c r="G22" s="2"/>
      <c r="J22" s="2"/>
    </row>
    <row r="25" spans="2:10" ht="15" thickBot="1" x14ac:dyDescent="0.35"/>
    <row r="26" spans="2:10" ht="18.600000000000001" thickBot="1" x14ac:dyDescent="0.35">
      <c r="H26" s="42" t="s">
        <v>45</v>
      </c>
      <c r="I26" s="42"/>
    </row>
    <row r="27" spans="2:10" ht="18" x14ac:dyDescent="0.3">
      <c r="H27" s="30" t="s">
        <v>20</v>
      </c>
      <c r="I27" s="31">
        <f>COUNTIF(Tabelle2_2[process_statut], "Received")</f>
        <v>9</v>
      </c>
    </row>
    <row r="28" spans="2:10" ht="18.600000000000001" thickBot="1" x14ac:dyDescent="0.35">
      <c r="H28" s="32" t="s">
        <v>21</v>
      </c>
      <c r="I28" s="33">
        <f>COUNTIF(Tabelle2_2[process_statut], "Pending_Return")</f>
        <v>3</v>
      </c>
    </row>
    <row r="29" spans="2:10" ht="15.6" x14ac:dyDescent="0.3">
      <c r="B29" s="2"/>
      <c r="C29" s="2"/>
      <c r="F29" s="2"/>
      <c r="G29" s="2"/>
      <c r="J29" s="2"/>
    </row>
    <row r="32" spans="2:10" ht="15" thickBot="1" x14ac:dyDescent="0.35"/>
    <row r="33" spans="8:9" ht="18.600000000000001" thickBot="1" x14ac:dyDescent="0.35">
      <c r="H33" s="40" t="s">
        <v>44</v>
      </c>
      <c r="I33" s="41"/>
    </row>
    <row r="34" spans="8:9" ht="18" x14ac:dyDescent="0.3">
      <c r="H34" s="30" t="s">
        <v>14</v>
      </c>
      <c r="I34" s="31">
        <f>COUNTIF(Tabelle2_2[issue_source],"Production")</f>
        <v>2</v>
      </c>
    </row>
    <row r="35" spans="8:9" ht="18.600000000000001" thickBot="1" x14ac:dyDescent="0.35">
      <c r="H35" s="32" t="s">
        <v>15</v>
      </c>
      <c r="I35" s="33">
        <f>COUNTIF(Tabelle2_2[issue_source],"Customer")</f>
        <v>7</v>
      </c>
    </row>
  </sheetData>
  <mergeCells count="3">
    <mergeCell ref="B4:J5"/>
    <mergeCell ref="H33:I33"/>
    <mergeCell ref="H26:I26"/>
  </mergeCells>
  <phoneticPr fontId="5" type="noConversion"/>
  <conditionalFormatting sqref="J8:J19">
    <cfRule type="cellIs" dxfId="1" priority="1" operator="equal">
      <formula>"Pending_Return"</formula>
    </cfRule>
    <cfRule type="cellIs" dxfId="0" priority="2" operator="equal">
      <formula>"Received"</formula>
    </cfRule>
  </conditionalFormatting>
  <pageMargins left="0.7" right="0.7" top="0.78740157499999996" bottom="0.78740157499999996" header="0.3" footer="0.3"/>
  <pageSetup paperSize="9" scale="65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3EB25F-723F-4B93-B1FB-CC386816CA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Dynamic Table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 OKOMON</dc:creator>
  <cp:lastModifiedBy>Winston OKOMON</cp:lastModifiedBy>
  <cp:lastPrinted>2026-05-15T14:41:45Z</cp:lastPrinted>
  <dcterms:created xsi:type="dcterms:W3CDTF">2026-05-15T12:54:37Z</dcterms:created>
  <dcterms:modified xsi:type="dcterms:W3CDTF">2026-05-15T20:43:36Z</dcterms:modified>
</cp:coreProperties>
</file>